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GPA430\TP\TP2\Lingos\"/>
    </mc:Choice>
  </mc:AlternateContent>
  <xr:revisionPtr revIDLastSave="0" documentId="13_ncr:1_{FAF36414-F411-46DF-8A05-F9300072445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definedNames>
    <definedName name="cap">Sheet1!$C$25:$D$25</definedName>
    <definedName name="cout_prod">Sheet1!$C$14:$F$15</definedName>
    <definedName name="cout_stock">Sheet1!$H$14:$H$15</definedName>
    <definedName name="cout_transport">Sheet1!$C$29:$F$30</definedName>
    <definedName name="demande">Sheet1!$C$8:$F$9</definedName>
    <definedName name="jours_prod">Sheet1!$C$10:$D$10</definedName>
    <definedName name="MOIS">Sheet1!$C$7:$D$7</definedName>
    <definedName name="Objfunc">Sheet1!$K$3</definedName>
    <definedName name="PROCEDES">Sheet1!$C$13:$D$13</definedName>
    <definedName name="PRODUITS">Sheet1!$B$8:$B$9</definedName>
    <definedName name="REGION">Sheet1!$C$24:$D$24</definedName>
    <definedName name="REGIONS">Sheet1!$C$24:$D$24</definedName>
    <definedName name="revenu">Sheet1!$G$14:$G$15</definedName>
    <definedName name="stock">Sheet1!$K$6:$L$7</definedName>
    <definedName name="taux_prod">Sheet1!$C$19:$F$20</definedName>
    <definedName name="USINES">Sheet1!$D$4:$E$4</definedName>
    <definedName name="X">Sheet1!$K$13:$Z$14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2" i="2"/>
  <c r="I1" i="2"/>
  <c r="H1" i="2"/>
  <c r="H3" i="2"/>
  <c r="H2" i="2"/>
</calcChain>
</file>

<file path=xl/sharedStrings.xml><?xml version="1.0" encoding="utf-8"?>
<sst xmlns="http://schemas.openxmlformats.org/spreadsheetml/2006/main" count="93" uniqueCount="35">
  <si>
    <t>U1</t>
  </si>
  <si>
    <t>U2</t>
  </si>
  <si>
    <t>fevrier</t>
  </si>
  <si>
    <t>mars</t>
  </si>
  <si>
    <t>P1</t>
  </si>
  <si>
    <t>P2</t>
  </si>
  <si>
    <t>jours disponibilité</t>
  </si>
  <si>
    <t>revenu</t>
  </si>
  <si>
    <t>cout stockage</t>
  </si>
  <si>
    <t>cout production</t>
  </si>
  <si>
    <t>taux production</t>
  </si>
  <si>
    <t>capacite</t>
  </si>
  <si>
    <t>PR1</t>
  </si>
  <si>
    <t>PR2</t>
  </si>
  <si>
    <t>Regions</t>
  </si>
  <si>
    <t>RESULTATS</t>
  </si>
  <si>
    <t>Gain:</t>
  </si>
  <si>
    <t>Stocks</t>
  </si>
  <si>
    <t>Production</t>
  </si>
  <si>
    <t>Usines:</t>
  </si>
  <si>
    <t>R1</t>
  </si>
  <si>
    <t>R2</t>
  </si>
  <si>
    <t>Demande</t>
  </si>
  <si>
    <t>Contrainte 1</t>
  </si>
  <si>
    <t>Contrainte 2</t>
  </si>
  <si>
    <t>Contrainte 3</t>
  </si>
  <si>
    <t>FO=0</t>
  </si>
  <si>
    <t>FO=500</t>
  </si>
  <si>
    <t>Est</t>
  </si>
  <si>
    <t>Ouest</t>
  </si>
  <si>
    <t>Usines</t>
  </si>
  <si>
    <t>PARAMETRES</t>
  </si>
  <si>
    <t>cout transport</t>
  </si>
  <si>
    <t>Region 1</t>
  </si>
  <si>
    <t>Region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</si>
</sst>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1" fillId="3" borderId="0" xfId="0" applyFont="1" applyFill="1" applyAlignment="1"/>
    <xf numFmtId="0" fontId="2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65" fontId="2" fillId="3" borderId="1" xfId="1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textRotation="90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Contrainte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Sheet2!$C$3:$C$4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Sheet2!$D$3:$D$4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C-445B-B4C8-FA1139C56C91}"/>
            </c:ext>
          </c:extLst>
        </c:ser>
        <c:ser>
          <c:idx val="1"/>
          <c:order val="1"/>
          <c:tx>
            <c:strRef>
              <c:f>Sheet2!$A$6</c:f>
              <c:strCache>
                <c:ptCount val="1"/>
                <c:pt idx="0">
                  <c:v>Contrainte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Sheet2!$C$6:$C$7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Sheet2!$D$6:$D$7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C-445B-B4C8-FA1139C56C91}"/>
            </c:ext>
          </c:extLst>
        </c:ser>
        <c:ser>
          <c:idx val="2"/>
          <c:order val="2"/>
          <c:tx>
            <c:strRef>
              <c:f>Sheet2!$A$9</c:f>
              <c:strCache>
                <c:ptCount val="1"/>
                <c:pt idx="0">
                  <c:v>Contrainte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Sheet2!$C$9:$C$10</c:f>
              <c:numCache>
                <c:formatCode>General</c:formatCode>
                <c:ptCount val="2"/>
              </c:numCache>
            </c:numRef>
          </c:xVal>
          <c:yVal>
            <c:numRef>
              <c:f>Sheet2!$D$9:$D$10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FC-445B-B4C8-FA1139C56C91}"/>
            </c:ext>
          </c:extLst>
        </c:ser>
        <c:ser>
          <c:idx val="3"/>
          <c:order val="3"/>
          <c:tx>
            <c:strRef>
              <c:f>Sheet2!$A$12</c:f>
              <c:strCache>
                <c:ptCount val="1"/>
                <c:pt idx="0">
                  <c:v>FO=0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Sheet2!$C$12:$C$13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Sheet2!$D$12:$D$13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C-445B-B4C8-FA1139C56C91}"/>
            </c:ext>
          </c:extLst>
        </c:ser>
        <c:ser>
          <c:idx val="4"/>
          <c:order val="4"/>
          <c:tx>
            <c:strRef>
              <c:f>Sheet2!$A$16</c:f>
              <c:strCache>
                <c:ptCount val="1"/>
                <c:pt idx="0">
                  <c:v>FO=500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Sheet2!$C$16:$C$17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Sheet2!$D$16:$D$17</c:f>
              <c:numCache>
                <c:formatCode>General</c:formatCode>
                <c:ptCount val="2"/>
                <c:pt idx="0">
                  <c:v>-2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FC-445B-B4C8-FA1139C56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08856"/>
        <c:axId val="287607544"/>
      </c:scatterChart>
      <c:valAx>
        <c:axId val="287608856"/>
        <c:scaling>
          <c:orientation val="minMax"/>
          <c:max val="1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607544"/>
        <c:crosses val="autoZero"/>
        <c:crossBetween val="midCat"/>
      </c:valAx>
      <c:valAx>
        <c:axId val="28760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7608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500062</xdr:colOff>
      <xdr:row>2</xdr:row>
      <xdr:rowOff>166687</xdr:rowOff>
    </xdr:from>
    <xdr:to>
      <xdr:col>13</xdr:col>
      <xdr:colOff>195262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236A6-45F5-4CF5-BD9D-EAA6DD654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30"/>
  <sheetViews>
    <sheetView tabSelected="1" workbookViewId="0">
      <selection activeCell="C8" sqref="C8"/>
    </sheetView>
  </sheetViews>
  <sheetFormatPr defaultColWidth="9.1796875" defaultRowHeight="14.5" x14ac:dyDescent="0.35"/>
  <cols>
    <col min="1" max="1" width="9.1796875" style="1"/>
    <col min="2" max="2" width="11.1796875" style="1" customWidth="1"/>
    <col min="3" max="9" width="9.1796875" style="1"/>
    <col min="10" max="10" width="6" style="1" customWidth="1"/>
    <col min="11" max="11" width="8.7265625" style="1" customWidth="1"/>
    <col min="12" max="26" width="6" style="1" customWidth="1"/>
    <col min="27" max="16384" width="9.1796875" style="1"/>
  </cols>
  <sheetData>
    <row r="1" spans="2:26" x14ac:dyDescent="0.35">
      <c r="C1" s="4" t="s">
        <v>31</v>
      </c>
      <c r="D1" s="5"/>
      <c r="J1" s="6" t="s">
        <v>15</v>
      </c>
    </row>
    <row r="3" spans="2:26" x14ac:dyDescent="0.35">
      <c r="J3" s="1" t="s">
        <v>16</v>
      </c>
      <c r="K3" s="10">
        <v>333680</v>
      </c>
    </row>
    <row r="4" spans="2:26" x14ac:dyDescent="0.35">
      <c r="C4" s="1" t="s">
        <v>19</v>
      </c>
      <c r="D4" s="2" t="s">
        <v>0</v>
      </c>
      <c r="E4" s="2" t="s">
        <v>1</v>
      </c>
    </row>
    <row r="5" spans="2:26" x14ac:dyDescent="0.35">
      <c r="J5" s="9" t="s">
        <v>17</v>
      </c>
      <c r="K5" s="3" t="s">
        <v>28</v>
      </c>
      <c r="L5" s="3" t="s">
        <v>29</v>
      </c>
    </row>
    <row r="6" spans="2:26" x14ac:dyDescent="0.35">
      <c r="B6" s="3" t="s">
        <v>30</v>
      </c>
      <c r="C6" s="11" t="s">
        <v>33</v>
      </c>
      <c r="D6" s="11"/>
      <c r="E6" s="11" t="s">
        <v>34</v>
      </c>
      <c r="F6" s="11"/>
      <c r="J6" s="2" t="s">
        <v>4</v>
      </c>
      <c r="K6" s="9">
        <v>0</v>
      </c>
      <c r="L6" s="9">
        <v>0</v>
      </c>
    </row>
    <row r="7" spans="2:26" x14ac:dyDescent="0.35">
      <c r="B7" s="8" t="s">
        <v>22</v>
      </c>
      <c r="C7" s="2" t="s">
        <v>2</v>
      </c>
      <c r="D7" s="2" t="s">
        <v>3</v>
      </c>
      <c r="E7" s="2" t="s">
        <v>2</v>
      </c>
      <c r="F7" s="2" t="s">
        <v>3</v>
      </c>
      <c r="J7" s="2" t="s">
        <v>5</v>
      </c>
      <c r="K7" s="9">
        <v>0</v>
      </c>
      <c r="L7" s="9">
        <v>0</v>
      </c>
    </row>
    <row r="8" spans="2:26" x14ac:dyDescent="0.35">
      <c r="B8" s="3" t="s">
        <v>4</v>
      </c>
      <c r="C8" s="2">
        <v>3600</v>
      </c>
      <c r="D8" s="2">
        <v>6300</v>
      </c>
      <c r="E8" s="2">
        <v>4900</v>
      </c>
      <c r="F8" s="2">
        <v>4200</v>
      </c>
    </row>
    <row r="9" spans="2:26" x14ac:dyDescent="0.35">
      <c r="B9" s="3" t="s">
        <v>5</v>
      </c>
      <c r="C9" s="2">
        <v>4500</v>
      </c>
      <c r="D9" s="2">
        <v>5400</v>
      </c>
      <c r="E9" s="2">
        <v>5100</v>
      </c>
      <c r="F9" s="2">
        <v>6000</v>
      </c>
      <c r="J9" s="12" t="s">
        <v>18</v>
      </c>
      <c r="K9" s="11" t="s">
        <v>2</v>
      </c>
      <c r="L9" s="11"/>
      <c r="M9" s="11"/>
      <c r="N9" s="11"/>
      <c r="O9" s="11"/>
      <c r="P9" s="11"/>
      <c r="Q9" s="11"/>
      <c r="R9" s="11"/>
      <c r="S9" s="11" t="s">
        <v>3</v>
      </c>
      <c r="T9" s="11"/>
      <c r="U9" s="11"/>
      <c r="V9" s="11"/>
      <c r="W9" s="11"/>
      <c r="X9" s="11"/>
      <c r="Y9" s="11"/>
      <c r="Z9" s="11"/>
    </row>
    <row r="10" spans="2:26" ht="26.5" customHeight="1" x14ac:dyDescent="0.35">
      <c r="B10" s="8" t="s">
        <v>6</v>
      </c>
      <c r="C10" s="2">
        <v>20</v>
      </c>
      <c r="D10" s="2">
        <v>23</v>
      </c>
      <c r="E10" s="2">
        <v>20</v>
      </c>
      <c r="F10" s="2">
        <v>23</v>
      </c>
      <c r="J10" s="12"/>
      <c r="K10" s="11" t="s">
        <v>0</v>
      </c>
      <c r="L10" s="11"/>
      <c r="M10" s="11"/>
      <c r="N10" s="11"/>
      <c r="O10" s="11" t="s">
        <v>1</v>
      </c>
      <c r="P10" s="11"/>
      <c r="Q10" s="11"/>
      <c r="R10" s="11"/>
      <c r="S10" s="11" t="s">
        <v>0</v>
      </c>
      <c r="T10" s="11"/>
      <c r="U10" s="11"/>
      <c r="V10" s="11"/>
      <c r="W10" s="11" t="s">
        <v>1</v>
      </c>
      <c r="X10" s="11"/>
      <c r="Y10" s="11"/>
      <c r="Z10" s="11"/>
    </row>
    <row r="11" spans="2:26" x14ac:dyDescent="0.35">
      <c r="J11" s="12"/>
      <c r="K11" s="11" t="s">
        <v>12</v>
      </c>
      <c r="L11" s="11"/>
      <c r="M11" s="11" t="s">
        <v>13</v>
      </c>
      <c r="N11" s="11"/>
      <c r="O11" s="11" t="s">
        <v>12</v>
      </c>
      <c r="P11" s="11"/>
      <c r="Q11" s="11" t="s">
        <v>13</v>
      </c>
      <c r="R11" s="11"/>
      <c r="S11" s="11" t="s">
        <v>12</v>
      </c>
      <c r="T11" s="11"/>
      <c r="U11" s="11" t="s">
        <v>13</v>
      </c>
      <c r="V11" s="11"/>
      <c r="W11" s="11" t="s">
        <v>12</v>
      </c>
      <c r="X11" s="11"/>
      <c r="Y11" s="11" t="s">
        <v>13</v>
      </c>
      <c r="Z11" s="11"/>
    </row>
    <row r="12" spans="2:26" x14ac:dyDescent="0.35">
      <c r="B12" s="2"/>
      <c r="C12" s="11" t="s">
        <v>0</v>
      </c>
      <c r="D12" s="11"/>
      <c r="E12" s="11" t="s">
        <v>1</v>
      </c>
      <c r="F12" s="11"/>
      <c r="J12" s="12"/>
      <c r="K12" s="3" t="s">
        <v>28</v>
      </c>
      <c r="L12" s="3" t="s">
        <v>29</v>
      </c>
      <c r="M12" s="3" t="s">
        <v>28</v>
      </c>
      <c r="N12" s="3" t="s">
        <v>29</v>
      </c>
      <c r="O12" s="3" t="s">
        <v>28</v>
      </c>
      <c r="P12" s="3" t="s">
        <v>29</v>
      </c>
      <c r="Q12" s="3" t="s">
        <v>28</v>
      </c>
      <c r="R12" s="3" t="s">
        <v>29</v>
      </c>
      <c r="S12" s="3" t="s">
        <v>28</v>
      </c>
      <c r="T12" s="3" t="s">
        <v>29</v>
      </c>
      <c r="U12" s="3" t="s">
        <v>28</v>
      </c>
      <c r="V12" s="3" t="s">
        <v>29</v>
      </c>
      <c r="W12" s="3" t="s">
        <v>28</v>
      </c>
      <c r="X12" s="3" t="s">
        <v>29</v>
      </c>
      <c r="Y12" s="3" t="s">
        <v>28</v>
      </c>
      <c r="Z12" s="3" t="s">
        <v>29</v>
      </c>
    </row>
    <row r="13" spans="2:26" ht="29" x14ac:dyDescent="0.35">
      <c r="B13" s="7" t="s">
        <v>9</v>
      </c>
      <c r="C13" s="2" t="s">
        <v>12</v>
      </c>
      <c r="D13" s="2" t="s">
        <v>13</v>
      </c>
      <c r="E13" s="2" t="s">
        <v>12</v>
      </c>
      <c r="F13" s="2" t="s">
        <v>13</v>
      </c>
      <c r="G13" s="7" t="s">
        <v>7</v>
      </c>
      <c r="H13" s="7" t="s">
        <v>8</v>
      </c>
      <c r="J13" s="2" t="s">
        <v>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</row>
    <row r="14" spans="2:26" x14ac:dyDescent="0.35">
      <c r="B14" s="2" t="s">
        <v>4</v>
      </c>
      <c r="C14" s="2">
        <v>62</v>
      </c>
      <c r="D14" s="2">
        <v>59</v>
      </c>
      <c r="E14" s="2">
        <v>61</v>
      </c>
      <c r="F14" s="2">
        <v>65</v>
      </c>
      <c r="G14" s="2">
        <v>83</v>
      </c>
      <c r="H14" s="2">
        <v>3</v>
      </c>
      <c r="J14" s="2" t="s">
        <v>5</v>
      </c>
      <c r="K14" s="9">
        <v>2400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3200</v>
      </c>
      <c r="R14" s="9">
        <v>0</v>
      </c>
      <c r="S14" s="9">
        <v>2760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3680</v>
      </c>
      <c r="Z14" s="9">
        <v>0</v>
      </c>
    </row>
    <row r="15" spans="2:26" x14ac:dyDescent="0.35">
      <c r="B15" s="2" t="s">
        <v>5</v>
      </c>
      <c r="C15" s="2">
        <v>78</v>
      </c>
      <c r="D15" s="2">
        <v>85</v>
      </c>
      <c r="E15" s="2">
        <v>89</v>
      </c>
      <c r="F15" s="2">
        <v>86</v>
      </c>
      <c r="G15" s="2">
        <v>112</v>
      </c>
      <c r="H15" s="2">
        <v>4</v>
      </c>
    </row>
    <row r="17" spans="2:6" x14ac:dyDescent="0.35">
      <c r="B17" s="2"/>
      <c r="C17" s="11" t="s">
        <v>0</v>
      </c>
      <c r="D17" s="11"/>
      <c r="E17" s="11" t="s">
        <v>1</v>
      </c>
      <c r="F17" s="11"/>
    </row>
    <row r="18" spans="2:6" ht="31" customHeight="1" x14ac:dyDescent="0.35">
      <c r="B18" s="7" t="s">
        <v>10</v>
      </c>
      <c r="C18" s="2" t="s">
        <v>12</v>
      </c>
      <c r="D18" s="2" t="s">
        <v>13</v>
      </c>
      <c r="E18" s="2" t="s">
        <v>12</v>
      </c>
      <c r="F18" s="2" t="s">
        <v>13</v>
      </c>
    </row>
    <row r="19" spans="2:6" x14ac:dyDescent="0.35">
      <c r="B19" s="2" t="s">
        <v>4</v>
      </c>
      <c r="C19" s="2">
        <v>100</v>
      </c>
      <c r="D19" s="2">
        <v>140</v>
      </c>
      <c r="E19" s="2">
        <v>130</v>
      </c>
      <c r="F19" s="2">
        <v>110</v>
      </c>
    </row>
    <row r="20" spans="2:6" x14ac:dyDescent="0.35">
      <c r="B20" s="2" t="s">
        <v>5</v>
      </c>
      <c r="C20" s="2">
        <v>120</v>
      </c>
      <c r="D20" s="2">
        <v>150</v>
      </c>
      <c r="E20" s="2">
        <v>160</v>
      </c>
      <c r="F20" s="2">
        <v>130</v>
      </c>
    </row>
    <row r="24" spans="2:6" x14ac:dyDescent="0.35">
      <c r="B24" s="2" t="s">
        <v>14</v>
      </c>
      <c r="C24" s="3" t="s">
        <v>28</v>
      </c>
      <c r="D24" s="3" t="s">
        <v>29</v>
      </c>
    </row>
    <row r="25" spans="2:6" x14ac:dyDescent="0.35">
      <c r="B25" s="7" t="s">
        <v>11</v>
      </c>
      <c r="C25" s="2">
        <v>1000</v>
      </c>
      <c r="D25" s="2">
        <v>1000</v>
      </c>
    </row>
    <row r="27" spans="2:6" x14ac:dyDescent="0.35">
      <c r="B27" s="2"/>
      <c r="C27" s="13" t="s">
        <v>0</v>
      </c>
      <c r="D27" s="14"/>
      <c r="E27" s="13" t="s">
        <v>1</v>
      </c>
      <c r="F27" s="14"/>
    </row>
    <row r="28" spans="2:6" ht="29" x14ac:dyDescent="0.35">
      <c r="B28" s="8" t="s">
        <v>32</v>
      </c>
      <c r="C28" s="2" t="s">
        <v>20</v>
      </c>
      <c r="D28" s="2" t="s">
        <v>21</v>
      </c>
      <c r="E28" s="2" t="s">
        <v>20</v>
      </c>
      <c r="F28" s="2" t="s">
        <v>21</v>
      </c>
    </row>
    <row r="29" spans="2:6" x14ac:dyDescent="0.35">
      <c r="B29" s="2" t="s">
        <v>4</v>
      </c>
      <c r="C29" s="2">
        <v>0</v>
      </c>
      <c r="D29" s="2">
        <v>9</v>
      </c>
      <c r="E29" s="2">
        <v>9</v>
      </c>
      <c r="F29" s="2">
        <v>0</v>
      </c>
    </row>
    <row r="30" spans="2:6" x14ac:dyDescent="0.35">
      <c r="B30" s="2" t="s">
        <v>5</v>
      </c>
      <c r="C30" s="2">
        <v>0</v>
      </c>
      <c r="D30" s="2">
        <v>7</v>
      </c>
      <c r="E30" s="2">
        <v>7</v>
      </c>
      <c r="F30" s="2">
        <v>0</v>
      </c>
    </row>
  </sheetData>
  <mergeCells count="23">
    <mergeCell ref="C6:D6"/>
    <mergeCell ref="E6:F6"/>
    <mergeCell ref="C12:D12"/>
    <mergeCell ref="E12:F12"/>
    <mergeCell ref="C17:D17"/>
    <mergeCell ref="E17:F17"/>
    <mergeCell ref="C27:D27"/>
    <mergeCell ref="E27:F27"/>
    <mergeCell ref="K10:N10"/>
    <mergeCell ref="K11:L11"/>
    <mergeCell ref="M11:N11"/>
    <mergeCell ref="K9:R9"/>
    <mergeCell ref="J9:J12"/>
    <mergeCell ref="S9:Z9"/>
    <mergeCell ref="S10:V10"/>
    <mergeCell ref="W10:Z10"/>
    <mergeCell ref="S11:T11"/>
    <mergeCell ref="U11:V11"/>
    <mergeCell ref="W11:X11"/>
    <mergeCell ref="Y11:Z11"/>
    <mergeCell ref="O10:R10"/>
    <mergeCell ref="O11:P11"/>
    <mergeCell ref="Q11:R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opLeftCell="A9" workbookViewId="0">
      <selection activeCell="F19" sqref="F19"/>
    </sheetView>
  </sheetViews>
  <sheetFormatPr defaultColWidth="8.7265625" defaultRowHeight="14.5" x14ac:dyDescent="0.35"/>
  <sheetData>
    <row r="1" spans="1:9" x14ac:dyDescent="0.35">
      <c r="H1">
        <f>0.1-0.04*1.5</f>
        <v>4.0000000000000008E-2</v>
      </c>
      <c r="I1">
        <f>8/0.04</f>
        <v>200</v>
      </c>
    </row>
    <row r="2" spans="1:9" x14ac:dyDescent="0.35">
      <c r="H2">
        <f>800/0.04</f>
        <v>20000</v>
      </c>
      <c r="I2">
        <f>800-1.5*200</f>
        <v>500</v>
      </c>
    </row>
    <row r="3" spans="1:9" x14ac:dyDescent="0.35">
      <c r="A3" t="s">
        <v>23</v>
      </c>
      <c r="C3">
        <v>0</v>
      </c>
      <c r="D3">
        <v>6</v>
      </c>
      <c r="H3">
        <f>800-20000*1.5</f>
        <v>-29200</v>
      </c>
      <c r="I3">
        <f>-50*500+75*2000</f>
        <v>125000</v>
      </c>
    </row>
    <row r="4" spans="1:9" x14ac:dyDescent="0.35">
      <c r="C4">
        <v>6</v>
      </c>
      <c r="D4">
        <v>0</v>
      </c>
    </row>
    <row r="6" spans="1:9" x14ac:dyDescent="0.35">
      <c r="A6" t="s">
        <v>24</v>
      </c>
      <c r="C6">
        <v>0</v>
      </c>
      <c r="D6">
        <v>5</v>
      </c>
    </row>
    <row r="7" spans="1:9" x14ac:dyDescent="0.35">
      <c r="C7">
        <v>10</v>
      </c>
      <c r="D7">
        <v>0</v>
      </c>
    </row>
    <row r="9" spans="1:9" x14ac:dyDescent="0.35">
      <c r="A9" t="s">
        <v>25</v>
      </c>
    </row>
    <row r="12" spans="1:9" x14ac:dyDescent="0.35">
      <c r="A12" t="s">
        <v>26</v>
      </c>
      <c r="C12">
        <v>0</v>
      </c>
      <c r="D12">
        <v>2</v>
      </c>
    </row>
    <row r="13" spans="1:9" x14ac:dyDescent="0.35">
      <c r="C13">
        <v>2</v>
      </c>
      <c r="D13">
        <v>0</v>
      </c>
    </row>
    <row r="16" spans="1:9" x14ac:dyDescent="0.35">
      <c r="A16" t="s">
        <v>27</v>
      </c>
      <c r="C16">
        <v>0</v>
      </c>
      <c r="D16">
        <v>-2</v>
      </c>
    </row>
    <row r="17" spans="3:4" x14ac:dyDescent="0.35">
      <c r="C17">
        <v>2</v>
      </c>
      <c r="D1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Sheet1</vt:lpstr>
      <vt:lpstr>Sheet2</vt:lpstr>
      <vt:lpstr>cap</vt:lpstr>
      <vt:lpstr>cout_prod</vt:lpstr>
      <vt:lpstr>cout_stock</vt:lpstr>
      <vt:lpstr>cout_transport</vt:lpstr>
      <vt:lpstr>demande</vt:lpstr>
      <vt:lpstr>jours_prod</vt:lpstr>
      <vt:lpstr>MOIS</vt:lpstr>
      <vt:lpstr>Objfunc</vt:lpstr>
      <vt:lpstr>PROCEDES</vt:lpstr>
      <vt:lpstr>PRODUITS</vt:lpstr>
      <vt:lpstr>REGION</vt:lpstr>
      <vt:lpstr>REGIONS</vt:lpstr>
      <vt:lpstr>revenu</vt:lpstr>
      <vt:lpstr>stock</vt:lpstr>
      <vt:lpstr>taux_prod</vt:lpstr>
      <vt:lpstr>USINES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</dc:creator>
  <cp:lastModifiedBy>virginie destuynder</cp:lastModifiedBy>
  <dcterms:created xsi:type="dcterms:W3CDTF">2017-09-26T02:57:36Z</dcterms:created>
  <dcterms:modified xsi:type="dcterms:W3CDTF">2022-01-28T02:28:08Z</dcterms:modified>
</cp:coreProperties>
</file>